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gusn\Documents\Huella de carbono\"/>
    </mc:Choice>
  </mc:AlternateContent>
  <xr:revisionPtr revIDLastSave="0" documentId="13_ncr:1_{AF3589A3-D667-4076-A7A7-467D7ED6FD99}" xr6:coauthVersionLast="47" xr6:coauthVersionMax="47" xr10:uidLastSave="{00000000-0000-0000-0000-000000000000}"/>
  <bookViews>
    <workbookView xWindow="-120" yWindow="-120" windowWidth="20730" windowHeight="11040" tabRatio="565" xr2:uid="{2373FC15-8C37-4F16-BCBA-4D5600125230}"/>
  </bookViews>
  <sheets>
    <sheet name="Calculo" sheetId="1" r:id="rId1"/>
    <sheet name="Emission factor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3" i="1" l="1"/>
  <c r="AE4" i="1"/>
  <c r="AE5" i="1"/>
  <c r="AE6" i="1"/>
  <c r="AE7" i="1"/>
  <c r="AE2" i="1"/>
  <c r="AC3" i="1"/>
  <c r="AD3" i="1" s="1"/>
  <c r="AC4" i="1"/>
  <c r="AD4" i="1" s="1"/>
  <c r="AC5" i="1"/>
  <c r="AD5" i="1" s="1"/>
  <c r="AC6" i="1"/>
  <c r="AD6" i="1" s="1"/>
  <c r="AC7" i="1"/>
  <c r="AD7" i="1" s="1"/>
  <c r="AC2" i="1"/>
  <c r="AD2" i="1" s="1"/>
  <c r="AA2" i="1"/>
  <c r="W3" i="1"/>
  <c r="W4" i="1"/>
  <c r="W5" i="1"/>
  <c r="W6" i="1"/>
  <c r="W7" i="1"/>
  <c r="W2" i="1"/>
  <c r="V3" i="1"/>
  <c r="V4" i="1"/>
  <c r="V5" i="1"/>
  <c r="V6" i="1"/>
  <c r="V7" i="1"/>
  <c r="V2" i="1"/>
  <c r="U3" i="1"/>
  <c r="U4" i="1"/>
  <c r="U6" i="1"/>
  <c r="U2" i="1"/>
  <c r="G7" i="1"/>
  <c r="U7" i="1" s="1"/>
  <c r="G5" i="1"/>
  <c r="U5" i="1" s="1"/>
  <c r="AB3" i="1"/>
  <c r="AB4" i="1"/>
  <c r="AB5" i="1"/>
  <c r="AB6" i="1"/>
  <c r="AB7" i="1"/>
  <c r="AB2" i="1"/>
  <c r="AA3" i="1"/>
  <c r="AA4" i="1"/>
  <c r="AA5" i="1"/>
  <c r="AA6" i="1"/>
  <c r="AA7" i="1"/>
  <c r="Z3" i="1"/>
  <c r="Z4" i="1"/>
  <c r="Z5" i="1"/>
  <c r="Z6" i="1"/>
  <c r="Z7" i="1"/>
  <c r="Z2" i="1"/>
  <c r="Y3" i="1"/>
  <c r="Y4" i="1"/>
  <c r="Y5" i="1"/>
  <c r="Y6" i="1"/>
  <c r="Y7" i="1"/>
  <c r="Y2" i="1"/>
  <c r="C8" i="2"/>
  <c r="C9" i="2"/>
  <c r="C10" i="2"/>
  <c r="F7" i="1"/>
  <c r="T7" i="1" s="1"/>
  <c r="F6" i="1"/>
  <c r="T6" i="1" s="1"/>
  <c r="F5" i="1"/>
  <c r="T5" i="1" s="1"/>
  <c r="F4" i="1"/>
  <c r="T4" i="1" s="1"/>
  <c r="F3" i="1"/>
  <c r="T3" i="1" s="1"/>
  <c r="F2" i="1"/>
  <c r="T2" i="1" s="1"/>
  <c r="C16" i="2"/>
  <c r="C15" i="2"/>
  <c r="C14" i="2"/>
  <c r="C13" i="2"/>
  <c r="C12" i="2"/>
  <c r="C11" i="2"/>
  <c r="C7" i="2"/>
  <c r="C6" i="2"/>
  <c r="C5" i="2"/>
  <c r="C4" i="2"/>
  <c r="C3" i="2"/>
  <c r="C2" i="2"/>
  <c r="AF2" i="1" l="1"/>
  <c r="AG2" i="1" s="1"/>
  <c r="AF6" i="1"/>
  <c r="AG6" i="1" s="1"/>
  <c r="AF3" i="1"/>
  <c r="AG3" i="1" s="1"/>
  <c r="AF4" i="1"/>
  <c r="AG4" i="1" s="1"/>
  <c r="AF5" i="1"/>
  <c r="AG5" i="1" s="1"/>
  <c r="AF7" i="1"/>
  <c r="AG7" i="1" s="1"/>
</calcChain>
</file>

<file path=xl/sharedStrings.xml><?xml version="1.0" encoding="utf-8"?>
<sst xmlns="http://schemas.openxmlformats.org/spreadsheetml/2006/main" count="158" uniqueCount="79">
  <si>
    <t>Field</t>
  </si>
  <si>
    <t>Region</t>
  </si>
  <si>
    <t>System</t>
  </si>
  <si>
    <t>Crop</t>
  </si>
  <si>
    <t>Yield(kg/ha)</t>
  </si>
  <si>
    <t>Rainfed</t>
  </si>
  <si>
    <t>Maize</t>
  </si>
  <si>
    <t>Irrigated</t>
  </si>
  <si>
    <t>N(kg/ha)</t>
  </si>
  <si>
    <t>P2O5(kg/ha)</t>
  </si>
  <si>
    <t>K2O(kg/ha)</t>
  </si>
  <si>
    <t>Diesel(kg/ha)</t>
  </si>
  <si>
    <t>Total_Irrigation(mm/ha)</t>
  </si>
  <si>
    <t>Irrigation_times</t>
  </si>
  <si>
    <t>Irrigation_hours_per_time</t>
  </si>
  <si>
    <t>Herbicides(kg/ha)</t>
  </si>
  <si>
    <t>Fungicide(kg/ha)</t>
  </si>
  <si>
    <t>Insecticide(kg/ha)</t>
  </si>
  <si>
    <t>NA</t>
  </si>
  <si>
    <t>Emission factor</t>
  </si>
  <si>
    <t>Unit</t>
  </si>
  <si>
    <t>Reference</t>
  </si>
  <si>
    <t>Comments</t>
  </si>
  <si>
    <t>N fertilizer</t>
  </si>
  <si>
    <t>World</t>
  </si>
  <si>
    <t>kg CO2 eq/KgN</t>
  </si>
  <si>
    <t>Menegat, S., Ledo, A. &amp; Tirado, R. Greenhouse gas emissions from global production and use of nitrogen synthetic fertilisers in agriculture. Sci Rep 12, 14490 (2022). https://doi.org/10.1038/s41598-022-18773-w</t>
  </si>
  <si>
    <t>Son todos los fertilizantes que tienen N, incluidos MAP y DAP</t>
  </si>
  <si>
    <t>(manufacturing + transport + urea aplication to soils)</t>
  </si>
  <si>
    <t>China</t>
  </si>
  <si>
    <t>USA</t>
  </si>
  <si>
    <t>UREA (manufacturing + aplication)</t>
  </si>
  <si>
    <t>Brentrup, F., Lammel, J., Stephani, T., &amp; Christensen, B. (2018, October). Updated carbon footprint values for mineral fertilizer from different world regions. In 11th International Conference on Life Cycle Assessment of Food, Kasetsart University (pp. 17-19).</t>
  </si>
  <si>
    <t>Transportation is not included</t>
  </si>
  <si>
    <t>Latin America</t>
  </si>
  <si>
    <t>UAN (manufacturing + aplication)</t>
  </si>
  <si>
    <t>DAP (manufacturing)</t>
  </si>
  <si>
    <t>kg CO2 eq/Kg P2O5</t>
  </si>
  <si>
    <t>MAP (manufacturing)</t>
  </si>
  <si>
    <t>Synthetic fertilizer transportation</t>
  </si>
  <si>
    <t>kg CO2 eq/ kg fertilizer</t>
  </si>
  <si>
    <t>W. Zhang, Z. Dou, P. He, X. Ju, D. Powlson, D. Chadwick, D. Norse, Y. Lu, Y. Zhang, L. Wu, X. Chen, K.G. Cassman, &amp; F. Zhang, New technologies reduce greenhouse gas emissions from nitrogenous fertilizer in China, Proc. Natl. Acad. Sci. U.S.A. 110 (21) 8375-8380, https://doi.org/10.1073/pnas.1210447110 (2013).</t>
  </si>
  <si>
    <t>Average transportation in China</t>
  </si>
  <si>
    <t>Diesel</t>
  </si>
  <si>
    <t>kgCO2eq/Kg</t>
  </si>
  <si>
    <t>Lal R (2004) Carbon emission from farm operations. Environ Int 30:981–990</t>
  </si>
  <si>
    <t>Herbicide</t>
  </si>
  <si>
    <t>kg CO2 eq/Kg</t>
  </si>
  <si>
    <t>West, T. O., &amp; Marland, G. (2002). A synthesis of carbon sequestration, carbon emissions, and net carbon flux in agriculture: comparing tillage practices in the United States. Agriculture, Ecosystems &amp; Environment, 91(1-3), 217-232.</t>
  </si>
  <si>
    <t>Production, transportation and storage</t>
  </si>
  <si>
    <t>Insecticide</t>
  </si>
  <si>
    <t xml:space="preserve">kg CO2 eq/ kg </t>
  </si>
  <si>
    <t>Fungicide</t>
  </si>
  <si>
    <t>*aplication in UREA and UAN means that UREA hydriolisis it taken in account.</t>
  </si>
  <si>
    <t>Seed_ECO2(kgCo2/ha)</t>
  </si>
  <si>
    <t>K2O_ECO2(kgCO2/ha)</t>
  </si>
  <si>
    <t>Fungicide_ECO2(kgCO2/ha)</t>
  </si>
  <si>
    <t>Insecticide_ECO2(kgCO2/ha)</t>
  </si>
  <si>
    <t>Herbicides_ECO2(kgCO2/ha)</t>
  </si>
  <si>
    <t>Diesel_ECO2(kgCO2/ha)</t>
  </si>
  <si>
    <t>UREA_EO2(kgCO2/ha)</t>
  </si>
  <si>
    <t>DAP_P2O5_ECO2(kgCO2/ha)</t>
  </si>
  <si>
    <t>MAP_P2O5_ECO2(kgCO2/ha)</t>
  </si>
  <si>
    <t>UAN_EO2(kgCO2/ha)</t>
  </si>
  <si>
    <t>MAP (kg/ha)</t>
  </si>
  <si>
    <t>DAP (kg/ha)</t>
  </si>
  <si>
    <t>UREA (kgN/ha)</t>
  </si>
  <si>
    <t>UAN (kgN/ha)</t>
  </si>
  <si>
    <t>Emision_Suelo_kgN2O</t>
  </si>
  <si>
    <t>365S</t>
  </si>
  <si>
    <t>144S</t>
  </si>
  <si>
    <t>246S</t>
  </si>
  <si>
    <t>417RS</t>
  </si>
  <si>
    <t>817R</t>
  </si>
  <si>
    <t>492R</t>
  </si>
  <si>
    <t>Soil_direct_emissions_kgCO2</t>
  </si>
  <si>
    <t>Soil_indirect_emission</t>
  </si>
  <si>
    <t>carbon_footprint_HA</t>
  </si>
  <si>
    <t>carbon_footprint__TN_grain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</si>
</sst>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2C93F-1EBD-4E15-ACA8-1CF10D73E88D}">
  <dimension ref="A1:AG7"/>
  <sheetViews>
    <sheetView tabSelected="1" topLeftCell="Q1" workbookViewId="0">
      <selection activeCell="Y1" sqref="Y1"/>
    </sheetView>
  </sheetViews>
  <sheetFormatPr baseColWidth="10" defaultRowHeight="15" x14ac:dyDescent="0.25"/>
  <sheetData>
    <row r="1" spans="1:33" x14ac:dyDescent="0.25">
      <c r="A1" t="s">
        <v>0</v>
      </c>
      <c r="B1" t="s">
        <v>2</v>
      </c>
      <c r="C1" t="s">
        <v>3</v>
      </c>
      <c r="D1" t="s">
        <v>4</v>
      </c>
      <c r="E1" t="s">
        <v>8</v>
      </c>
      <c r="F1" t="s">
        <v>66</v>
      </c>
      <c r="G1" t="s">
        <v>67</v>
      </c>
      <c r="H1" t="s">
        <v>9</v>
      </c>
      <c r="I1" t="s">
        <v>64</v>
      </c>
      <c r="J1" t="s">
        <v>65</v>
      </c>
      <c r="K1" t="s">
        <v>10</v>
      </c>
      <c r="L1" t="s">
        <v>16</v>
      </c>
      <c r="M1" t="s">
        <v>17</v>
      </c>
      <c r="N1" t="s">
        <v>15</v>
      </c>
      <c r="O1" t="s">
        <v>11</v>
      </c>
      <c r="P1" t="s">
        <v>13</v>
      </c>
      <c r="Q1" t="s">
        <v>14</v>
      </c>
      <c r="R1" t="s">
        <v>12</v>
      </c>
      <c r="S1" t="s">
        <v>54</v>
      </c>
      <c r="T1" t="s">
        <v>60</v>
      </c>
      <c r="U1" t="s">
        <v>63</v>
      </c>
      <c r="V1" t="s">
        <v>62</v>
      </c>
      <c r="W1" t="s">
        <v>61</v>
      </c>
      <c r="X1" t="s">
        <v>55</v>
      </c>
      <c r="Y1" t="s">
        <v>56</v>
      </c>
      <c r="Z1" t="s">
        <v>57</v>
      </c>
      <c r="AA1" t="s">
        <v>58</v>
      </c>
      <c r="AB1" t="s">
        <v>59</v>
      </c>
      <c r="AC1" t="s">
        <v>68</v>
      </c>
      <c r="AD1" t="s">
        <v>75</v>
      </c>
      <c r="AE1" t="s">
        <v>76</v>
      </c>
      <c r="AF1" t="s">
        <v>77</v>
      </c>
      <c r="AG1" t="s">
        <v>78</v>
      </c>
    </row>
    <row r="2" spans="1:33" x14ac:dyDescent="0.25">
      <c r="A2" t="s">
        <v>70</v>
      </c>
      <c r="B2" t="s">
        <v>5</v>
      </c>
      <c r="C2" t="s">
        <v>6</v>
      </c>
      <c r="D2">
        <v>8903</v>
      </c>
      <c r="E2">
        <v>99.409599999999998</v>
      </c>
      <c r="F2">
        <f>201.76*0.46</f>
        <v>92.809600000000003</v>
      </c>
      <c r="G2">
        <v>0</v>
      </c>
      <c r="H2">
        <v>31.200000000000003</v>
      </c>
      <c r="I2">
        <v>60</v>
      </c>
      <c r="J2">
        <v>0</v>
      </c>
      <c r="K2">
        <v>0</v>
      </c>
      <c r="L2">
        <v>0</v>
      </c>
      <c r="M2">
        <v>0.43080000000000002</v>
      </c>
      <c r="N2">
        <v>16.180099999999999</v>
      </c>
      <c r="O2">
        <v>50</v>
      </c>
      <c r="P2">
        <v>0</v>
      </c>
      <c r="Q2">
        <v>0</v>
      </c>
      <c r="R2">
        <v>0</v>
      </c>
      <c r="T2">
        <f>F2*('Emission factors'!$C$7+'Emission factors'!$C$17)</f>
        <v>353.5682592</v>
      </c>
      <c r="U2">
        <f>G2*('Emission factors'!$C$10+'Emission factors'!$C$17)</f>
        <v>0</v>
      </c>
      <c r="V2">
        <f>(I2*0.52)*('Emission factors'!$C$16+'Emission factors'!$C$17)</f>
        <v>32.042400000000001</v>
      </c>
      <c r="W2">
        <f>(J2*0.46)*('Emission factors'!$C$13+'Emission factors'!$C$17)</f>
        <v>0</v>
      </c>
      <c r="X2">
        <v>0</v>
      </c>
      <c r="Y2">
        <f>L2*'Emission factors'!$C$21</f>
        <v>0</v>
      </c>
      <c r="Z2">
        <f>M2*'Emission factors'!$C$20</f>
        <v>7.7904766279999995</v>
      </c>
      <c r="AA2">
        <f>N2*'Emission factors'!$C$19</f>
        <v>278.97825500600004</v>
      </c>
      <c r="AB2">
        <f>O2*'Emission factors'!$C$18</f>
        <v>172</v>
      </c>
      <c r="AC2">
        <f>(((((D2*0.86)*0.006)+(((D2*0.86)*0.22)*0.007))*0.006)+E2*0.01)*(44/28)</f>
        <v>2.1064680673142857</v>
      </c>
      <c r="AD2">
        <f>AC2*298</f>
        <v>627.72748405965717</v>
      </c>
      <c r="AE2">
        <f>(((E2*0.11)*0.01)*(44/28))*298</f>
        <v>51.207305097142857</v>
      </c>
      <c r="AF2">
        <f>SUM(S2:AB2)+SUM(AD2:AE2)</f>
        <v>1523.3141799908001</v>
      </c>
      <c r="AG2">
        <f>AF2/D2</f>
        <v>0.17110122205894643</v>
      </c>
    </row>
    <row r="3" spans="1:33" x14ac:dyDescent="0.25">
      <c r="A3" t="s">
        <v>69</v>
      </c>
      <c r="B3" t="s">
        <v>5</v>
      </c>
      <c r="C3" t="s">
        <v>6</v>
      </c>
      <c r="D3">
        <v>7446</v>
      </c>
      <c r="E3">
        <v>99.174399999999991</v>
      </c>
      <c r="F3">
        <f>203.64*0.46</f>
        <v>93.674399999999991</v>
      </c>
      <c r="G3">
        <v>0</v>
      </c>
      <c r="H3">
        <v>26</v>
      </c>
      <c r="I3">
        <v>50</v>
      </c>
      <c r="J3">
        <v>0</v>
      </c>
      <c r="K3">
        <v>0</v>
      </c>
      <c r="L3">
        <v>0</v>
      </c>
      <c r="M3">
        <v>0</v>
      </c>
      <c r="N3">
        <v>6.9440099999999996</v>
      </c>
      <c r="O3">
        <v>48.65</v>
      </c>
      <c r="P3">
        <v>0</v>
      </c>
      <c r="Q3">
        <v>0</v>
      </c>
      <c r="R3">
        <v>0</v>
      </c>
      <c r="T3">
        <f>F3*('Emission factors'!$C$7+'Emission factors'!$C$17)</f>
        <v>356.86280879999998</v>
      </c>
      <c r="U3">
        <f>G3*('Emission factors'!$C$10+'Emission factors'!$C$17)</f>
        <v>0</v>
      </c>
      <c r="V3">
        <f>(I3*0.52)*('Emission factors'!$C$16+'Emission factors'!$C$17)</f>
        <v>26.701999999999998</v>
      </c>
      <c r="W3">
        <f>(J3*0.46)*('Emission factors'!$C$13+'Emission factors'!$C$17)</f>
        <v>0</v>
      </c>
      <c r="X3">
        <v>0</v>
      </c>
      <c r="Y3">
        <f>L3*'Emission factors'!$C$21</f>
        <v>0</v>
      </c>
      <c r="Z3">
        <f>M3*'Emission factors'!$C$20</f>
        <v>0</v>
      </c>
      <c r="AA3">
        <f>N3*'Emission factors'!$C$19</f>
        <v>119.72903706060001</v>
      </c>
      <c r="AB3">
        <f>O3*'Emission factors'!$C$18</f>
        <v>167.35599999999999</v>
      </c>
      <c r="AC3">
        <f>(((((D3*0.86)*0.006)+(((D3*0.86)*0.22)*0.007))*0.006)+E3*0.01)*(44/28)</f>
        <v>2.013693085485714</v>
      </c>
      <c r="AD3">
        <f t="shared" ref="AD3:AD7" si="0">AC3*298</f>
        <v>600.08053947474275</v>
      </c>
      <c r="AE3">
        <f t="shared" ref="AE3:AE7" si="1">(((E3*0.11)*0.01)*(44/28))*298</f>
        <v>51.086150217142851</v>
      </c>
      <c r="AF3">
        <f t="shared" ref="AF3:AF7" si="2">SUM(S3:AB3)+SUM(AD3:AE3)</f>
        <v>1321.8165355524857</v>
      </c>
      <c r="AG3">
        <f>AF3/D3</f>
        <v>0.17752035126947163</v>
      </c>
    </row>
    <row r="4" spans="1:33" x14ac:dyDescent="0.25">
      <c r="A4" t="s">
        <v>71</v>
      </c>
      <c r="B4" t="s">
        <v>5</v>
      </c>
      <c r="C4" t="s">
        <v>6</v>
      </c>
      <c r="D4">
        <v>6219</v>
      </c>
      <c r="E4">
        <v>55.41</v>
      </c>
      <c r="F4">
        <f>108.5*0.46</f>
        <v>49.910000000000004</v>
      </c>
      <c r="G4">
        <v>0</v>
      </c>
      <c r="H4">
        <v>26</v>
      </c>
      <c r="I4">
        <v>50</v>
      </c>
      <c r="J4">
        <v>0</v>
      </c>
      <c r="K4">
        <v>0</v>
      </c>
      <c r="L4">
        <v>0.111</v>
      </c>
      <c r="M4">
        <v>0.99160000000000004</v>
      </c>
      <c r="N4">
        <v>18.06446</v>
      </c>
      <c r="O4">
        <v>50.25</v>
      </c>
      <c r="P4">
        <v>0</v>
      </c>
      <c r="Q4">
        <v>0</v>
      </c>
      <c r="R4">
        <v>0</v>
      </c>
      <c r="T4">
        <f>F4*('Emission factors'!$C$7+'Emission factors'!$C$17)</f>
        <v>190.13757000000001</v>
      </c>
      <c r="U4">
        <f>G4*('Emission factors'!$C$10+'Emission factors'!$C$17)</f>
        <v>0</v>
      </c>
      <c r="V4">
        <f>(I4*0.52)*('Emission factors'!$C$16+'Emission factors'!$C$17)</f>
        <v>26.701999999999998</v>
      </c>
      <c r="W4">
        <f>(J4*0.46)*('Emission factors'!$C$13+'Emission factors'!$C$17)</f>
        <v>0</v>
      </c>
      <c r="X4">
        <v>0</v>
      </c>
      <c r="Y4">
        <f>L4*'Emission factors'!$C$21</f>
        <v>2.1072506400000006</v>
      </c>
      <c r="Z4">
        <f>M4*'Emission factors'!$C$20</f>
        <v>17.931839889333332</v>
      </c>
      <c r="AA4">
        <f>N4*'Emission factors'!$C$19</f>
        <v>311.46850318760005</v>
      </c>
      <c r="AB4">
        <f>O4*'Emission factors'!$C$18</f>
        <v>172.85999999999999</v>
      </c>
      <c r="AC4">
        <f>(((((D4*0.86)*0.006)+(((D4*0.86)*0.22)*0.007))*0.006)+E4*0.01)*(44/28)</f>
        <v>1.2509497025142855</v>
      </c>
      <c r="AD4">
        <f t="shared" si="0"/>
        <v>372.78301134925709</v>
      </c>
      <c r="AE4">
        <f t="shared" si="1"/>
        <v>28.542482571428572</v>
      </c>
      <c r="AF4">
        <f t="shared" si="2"/>
        <v>1122.5326576376192</v>
      </c>
      <c r="AG4">
        <f>AF4/D4</f>
        <v>0.18050050774041151</v>
      </c>
    </row>
    <row r="5" spans="1:33" x14ac:dyDescent="0.25">
      <c r="A5" t="s">
        <v>72</v>
      </c>
      <c r="B5" t="s">
        <v>7</v>
      </c>
      <c r="C5" t="s">
        <v>6</v>
      </c>
      <c r="D5">
        <v>13279</v>
      </c>
      <c r="E5">
        <v>199.13</v>
      </c>
      <c r="F5">
        <f>(125.5+101.75)*0.46</f>
        <v>104.53500000000001</v>
      </c>
      <c r="G5">
        <f>264.68*0.32</f>
        <v>84.697600000000008</v>
      </c>
      <c r="H5">
        <v>46.800000000000004</v>
      </c>
      <c r="I5">
        <v>90</v>
      </c>
      <c r="J5">
        <v>0</v>
      </c>
      <c r="K5">
        <v>0</v>
      </c>
      <c r="L5">
        <v>0</v>
      </c>
      <c r="M5">
        <v>6.54E-2</v>
      </c>
      <c r="N5">
        <v>5.92</v>
      </c>
      <c r="O5">
        <v>660.12</v>
      </c>
      <c r="P5">
        <v>6</v>
      </c>
      <c r="Q5" t="s">
        <v>18</v>
      </c>
      <c r="R5">
        <v>376</v>
      </c>
      <c r="T5">
        <f>F5*('Emission factors'!$C$7+'Emission factors'!$C$17)</f>
        <v>398.23744500000004</v>
      </c>
      <c r="U5">
        <f>G5*('Emission factors'!$C$10+'Emission factors'!$C$17)</f>
        <v>434.24459520000011</v>
      </c>
      <c r="V5">
        <f>(I5*0.52)*('Emission factors'!$C$16+'Emission factors'!$C$17)</f>
        <v>48.063600000000001</v>
      </c>
      <c r="W5">
        <f>(J5*0.46)*('Emission factors'!$C$13+'Emission factors'!$C$17)</f>
        <v>0</v>
      </c>
      <c r="X5">
        <v>0</v>
      </c>
      <c r="Y5">
        <f>L5*'Emission factors'!$C$21</f>
        <v>0</v>
      </c>
      <c r="Z5">
        <f>M5*'Emission factors'!$C$20</f>
        <v>1.1826768139999999</v>
      </c>
      <c r="AA5">
        <f>N5*'Emission factors'!$C$19</f>
        <v>102.07299520000001</v>
      </c>
      <c r="AB5">
        <f>O5*'Emission factors'!$C$18</f>
        <v>2270.8128000000002</v>
      </c>
      <c r="AC5">
        <f>(((((D5*0.86)*0.006)+(((D5*0.86)*0.22)*0.007))*0.006)+E5*0.01)*(44/28)</f>
        <v>3.9410455630857144</v>
      </c>
      <c r="AD5">
        <f t="shared" si="0"/>
        <v>1174.431577799543</v>
      </c>
      <c r="AE5">
        <f t="shared" si="1"/>
        <v>102.57470771428571</v>
      </c>
      <c r="AF5">
        <f t="shared" si="2"/>
        <v>4531.6203977278292</v>
      </c>
      <c r="AG5">
        <f>AF5/D5</f>
        <v>0.34126217318531737</v>
      </c>
    </row>
    <row r="6" spans="1:33" x14ac:dyDescent="0.25">
      <c r="A6" t="s">
        <v>73</v>
      </c>
      <c r="B6" t="s">
        <v>7</v>
      </c>
      <c r="C6" t="s">
        <v>6</v>
      </c>
      <c r="D6">
        <v>8762</v>
      </c>
      <c r="E6">
        <v>137.98699999999999</v>
      </c>
      <c r="F6">
        <f>(177.04+101.41)*0.46</f>
        <v>128.08699999999999</v>
      </c>
      <c r="G6">
        <v>0</v>
      </c>
      <c r="H6">
        <v>46.800000000000004</v>
      </c>
      <c r="I6">
        <v>90</v>
      </c>
      <c r="J6">
        <v>0</v>
      </c>
      <c r="K6">
        <v>0</v>
      </c>
      <c r="L6">
        <v>0</v>
      </c>
      <c r="M6">
        <v>0.28999999999999998</v>
      </c>
      <c r="N6">
        <v>11.2356</v>
      </c>
      <c r="O6">
        <v>359.74400000000003</v>
      </c>
      <c r="P6">
        <v>4</v>
      </c>
      <c r="Q6" t="s">
        <v>18</v>
      </c>
      <c r="R6">
        <v>190.2</v>
      </c>
      <c r="T6">
        <f>F6*('Emission factors'!$C$7+'Emission factors'!$C$17)</f>
        <v>487.96134899999998</v>
      </c>
      <c r="U6">
        <f>G6*('Emission factors'!$C$10+'Emission factors'!$C$17)</f>
        <v>0</v>
      </c>
      <c r="V6">
        <f>(I6*0.52)*('Emission factors'!$C$16+'Emission factors'!$C$17)</f>
        <v>48.063600000000001</v>
      </c>
      <c r="W6">
        <f>(J6*0.46)*('Emission factors'!$C$13+'Emission factors'!$C$17)</f>
        <v>0</v>
      </c>
      <c r="X6">
        <v>0</v>
      </c>
      <c r="Y6">
        <f>L6*'Emission factors'!$C$21</f>
        <v>0</v>
      </c>
      <c r="Z6">
        <f>M6*'Emission factors'!$C$20</f>
        <v>5.2442855666666652</v>
      </c>
      <c r="AA6">
        <f>N6*'Emission factors'!$C$19</f>
        <v>193.72488933600002</v>
      </c>
      <c r="AB6">
        <f>O6*'Emission factors'!$C$18</f>
        <v>1237.51936</v>
      </c>
      <c r="AC6">
        <f>(((((D6*0.86)*0.006)+(((D6*0.86)*0.22)*0.007))*0.006)+E6*0.01)*(44/28)</f>
        <v>2.7040638063999998</v>
      </c>
      <c r="AD6">
        <f t="shared" si="0"/>
        <v>805.81101430719991</v>
      </c>
      <c r="AE6">
        <f t="shared" si="1"/>
        <v>71.079074942857147</v>
      </c>
      <c r="AF6">
        <f t="shared" si="2"/>
        <v>2849.4035731527238</v>
      </c>
      <c r="AG6">
        <f>AF6/D6</f>
        <v>0.32520013389097507</v>
      </c>
    </row>
    <row r="7" spans="1:33" x14ac:dyDescent="0.25">
      <c r="A7" t="s">
        <v>74</v>
      </c>
      <c r="B7" t="s">
        <v>7</v>
      </c>
      <c r="C7" t="s">
        <v>6</v>
      </c>
      <c r="D7">
        <v>10909</v>
      </c>
      <c r="E7">
        <v>211.74729600000001</v>
      </c>
      <c r="F7">
        <f>(204.08+140.56)*0.46</f>
        <v>158.53440000000001</v>
      </c>
      <c r="G7">
        <f>135.35*0.32</f>
        <v>43.311999999999998</v>
      </c>
      <c r="H7">
        <v>46.8</v>
      </c>
      <c r="I7">
        <v>90</v>
      </c>
      <c r="J7">
        <v>0</v>
      </c>
      <c r="K7">
        <v>0</v>
      </c>
      <c r="L7">
        <v>0</v>
      </c>
      <c r="M7">
        <v>0</v>
      </c>
      <c r="N7">
        <v>10.969799999999999</v>
      </c>
      <c r="O7">
        <v>490.7</v>
      </c>
      <c r="P7">
        <v>4</v>
      </c>
      <c r="Q7" t="s">
        <v>18</v>
      </c>
      <c r="R7">
        <v>271</v>
      </c>
      <c r="T7">
        <f>F7*('Emission factors'!$C$7+'Emission factors'!$C$17)</f>
        <v>603.95402880000006</v>
      </c>
      <c r="U7">
        <f>G7*('Emission factors'!$C$10+'Emission factors'!$C$17)</f>
        <v>222.06062400000002</v>
      </c>
      <c r="V7">
        <f>(I7*0.52)*('Emission factors'!$C$16+'Emission factors'!$C$17)</f>
        <v>48.063600000000001</v>
      </c>
      <c r="W7">
        <f>(J7*0.46)*('Emission factors'!$C$13+'Emission factors'!$C$17)</f>
        <v>0</v>
      </c>
      <c r="X7">
        <v>0</v>
      </c>
      <c r="Y7">
        <f>L7*'Emission factors'!$C$21</f>
        <v>0</v>
      </c>
      <c r="Z7">
        <f>M7*'Emission factors'!$C$20</f>
        <v>0</v>
      </c>
      <c r="AA7">
        <f>N7*'Emission factors'!$C$19</f>
        <v>189.14194978800001</v>
      </c>
      <c r="AB7">
        <f>O7*'Emission factors'!$C$18</f>
        <v>1688.008</v>
      </c>
      <c r="AC7">
        <f>(((((D7*0.86)*0.006)+(((D7*0.86)*0.22)*0.007))*0.006)+E7*0.01)*(44/28)</f>
        <v>3.994418807657143</v>
      </c>
      <c r="AD7">
        <f t="shared" si="0"/>
        <v>1190.3368046818287</v>
      </c>
      <c r="AE7">
        <f t="shared" si="1"/>
        <v>109.07405713097144</v>
      </c>
      <c r="AF7">
        <f t="shared" si="2"/>
        <v>4050.6390644007997</v>
      </c>
      <c r="AG7">
        <f>AF7/D7</f>
        <v>0.37131167516736635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C2D82-B8A8-4FB1-B4AA-3A8F96B29626}">
  <dimension ref="A1:F23"/>
  <sheetViews>
    <sheetView topLeftCell="A4" workbookViewId="0">
      <selection activeCell="C6" sqref="C6"/>
    </sheetView>
  </sheetViews>
  <sheetFormatPr baseColWidth="10" defaultRowHeight="15" x14ac:dyDescent="0.25"/>
  <cols>
    <col min="1" max="1" width="34" customWidth="1"/>
    <col min="4" max="4" width="27" customWidth="1"/>
    <col min="5" max="5" width="29.140625" customWidth="1"/>
  </cols>
  <sheetData>
    <row r="1" spans="1:6" x14ac:dyDescent="0.25">
      <c r="B1" t="s">
        <v>1</v>
      </c>
      <c r="C1" t="s">
        <v>19</v>
      </c>
      <c r="D1" t="s">
        <v>20</v>
      </c>
      <c r="E1" t="s">
        <v>21</v>
      </c>
      <c r="F1" t="s">
        <v>22</v>
      </c>
    </row>
    <row r="2" spans="1:6" x14ac:dyDescent="0.25">
      <c r="A2" t="s">
        <v>23</v>
      </c>
      <c r="B2" t="s">
        <v>24</v>
      </c>
      <c r="C2">
        <f>(438.5+29.8+86)/107.7</f>
        <v>5.1467038068709376</v>
      </c>
      <c r="D2" t="s">
        <v>25</v>
      </c>
      <c r="E2" t="s">
        <v>26</v>
      </c>
      <c r="F2" t="s">
        <v>27</v>
      </c>
    </row>
    <row r="3" spans="1:6" x14ac:dyDescent="0.25">
      <c r="A3" t="s">
        <v>28</v>
      </c>
      <c r="B3" t="s">
        <v>29</v>
      </c>
      <c r="C3">
        <f>(161.3+11.1+14.1)/28.1</f>
        <v>6.6370106761565832</v>
      </c>
      <c r="D3" t="s">
        <v>25</v>
      </c>
      <c r="E3" t="s">
        <v>26</v>
      </c>
      <c r="F3" t="s">
        <v>27</v>
      </c>
    </row>
    <row r="4" spans="1:6" x14ac:dyDescent="0.25">
      <c r="B4" t="s">
        <v>30</v>
      </c>
      <c r="C4">
        <f>(40.2+2.9+7.5)/11.6</f>
        <v>4.362068965517242</v>
      </c>
      <c r="D4" t="s">
        <v>25</v>
      </c>
      <c r="E4" t="s">
        <v>26</v>
      </c>
      <c r="F4" t="s">
        <v>27</v>
      </c>
    </row>
    <row r="5" spans="1:6" x14ac:dyDescent="0.25">
      <c r="A5" t="s">
        <v>31</v>
      </c>
      <c r="B5" t="s">
        <v>29</v>
      </c>
      <c r="C5">
        <f>(1.99+0.73)/0.46</f>
        <v>5.9130434782608692</v>
      </c>
      <c r="D5" t="s">
        <v>25</v>
      </c>
      <c r="E5" t="s">
        <v>32</v>
      </c>
      <c r="F5" t="s">
        <v>33</v>
      </c>
    </row>
    <row r="6" spans="1:6" x14ac:dyDescent="0.25">
      <c r="A6" t="s">
        <v>31</v>
      </c>
      <c r="B6" t="s">
        <v>30</v>
      </c>
      <c r="C6">
        <f>(1.01+0.73)/0.46</f>
        <v>3.7826086956521738</v>
      </c>
      <c r="D6" t="s">
        <v>25</v>
      </c>
      <c r="E6" t="s">
        <v>32</v>
      </c>
      <c r="F6" t="s">
        <v>33</v>
      </c>
    </row>
    <row r="7" spans="1:6" x14ac:dyDescent="0.25">
      <c r="A7" t="s">
        <v>31</v>
      </c>
      <c r="B7" t="s">
        <v>34</v>
      </c>
      <c r="C7">
        <f>(1.01+0.73)/0.46</f>
        <v>3.7826086956521738</v>
      </c>
      <c r="D7" t="s">
        <v>25</v>
      </c>
      <c r="E7" t="s">
        <v>32</v>
      </c>
      <c r="F7" t="s">
        <v>33</v>
      </c>
    </row>
    <row r="8" spans="1:6" x14ac:dyDescent="0.25">
      <c r="A8" t="s">
        <v>35</v>
      </c>
      <c r="B8" t="s">
        <v>29</v>
      </c>
      <c r="C8">
        <f>(2.2+0.24)/0.3</f>
        <v>8.1333333333333346</v>
      </c>
      <c r="D8" t="s">
        <v>25</v>
      </c>
      <c r="E8" t="s">
        <v>32</v>
      </c>
      <c r="F8" t="s">
        <v>33</v>
      </c>
    </row>
    <row r="9" spans="1:6" x14ac:dyDescent="0.25">
      <c r="A9" t="s">
        <v>35</v>
      </c>
      <c r="B9" t="s">
        <v>30</v>
      </c>
      <c r="C9">
        <f>(1.33+0.24)/0.3</f>
        <v>5.2333333333333334</v>
      </c>
      <c r="D9" t="s">
        <v>25</v>
      </c>
      <c r="E9" t="s">
        <v>32</v>
      </c>
      <c r="F9" t="s">
        <v>33</v>
      </c>
    </row>
    <row r="10" spans="1:6" x14ac:dyDescent="0.25">
      <c r="A10" t="s">
        <v>35</v>
      </c>
      <c r="B10" t="s">
        <v>34</v>
      </c>
      <c r="C10">
        <f>(1.29+0.24)/0.3</f>
        <v>5.1000000000000005</v>
      </c>
      <c r="D10" t="s">
        <v>25</v>
      </c>
      <c r="E10" t="s">
        <v>32</v>
      </c>
      <c r="F10" t="s">
        <v>33</v>
      </c>
    </row>
    <row r="11" spans="1:6" x14ac:dyDescent="0.25">
      <c r="A11" t="s">
        <v>36</v>
      </c>
      <c r="B11" t="s">
        <v>29</v>
      </c>
      <c r="C11">
        <f>1.15/0.46</f>
        <v>2.4999999999999996</v>
      </c>
      <c r="D11" t="s">
        <v>37</v>
      </c>
      <c r="E11" t="s">
        <v>32</v>
      </c>
      <c r="F11" t="s">
        <v>33</v>
      </c>
    </row>
    <row r="12" spans="1:6" x14ac:dyDescent="0.25">
      <c r="A12" t="s">
        <v>36</v>
      </c>
      <c r="B12" t="s">
        <v>30</v>
      </c>
      <c r="C12">
        <f>0.67/0.46</f>
        <v>1.4565217391304348</v>
      </c>
      <c r="D12" t="s">
        <v>37</v>
      </c>
      <c r="E12" t="s">
        <v>32</v>
      </c>
      <c r="F12" t="s">
        <v>33</v>
      </c>
    </row>
    <row r="13" spans="1:6" x14ac:dyDescent="0.25">
      <c r="A13" t="s">
        <v>36</v>
      </c>
      <c r="B13" t="s">
        <v>34</v>
      </c>
      <c r="C13">
        <f>0.73/0.46</f>
        <v>1.5869565217391304</v>
      </c>
      <c r="D13" t="s">
        <v>37</v>
      </c>
      <c r="E13" t="s">
        <v>32</v>
      </c>
      <c r="F13" t="s">
        <v>33</v>
      </c>
    </row>
    <row r="14" spans="1:6" x14ac:dyDescent="0.25">
      <c r="A14" t="s">
        <v>38</v>
      </c>
      <c r="B14" t="s">
        <v>29</v>
      </c>
      <c r="C14">
        <f>0.81/0.52</f>
        <v>1.5576923076923077</v>
      </c>
      <c r="D14" t="s">
        <v>37</v>
      </c>
      <c r="E14" t="s">
        <v>32</v>
      </c>
      <c r="F14" t="s">
        <v>33</v>
      </c>
    </row>
    <row r="15" spans="1:6" x14ac:dyDescent="0.25">
      <c r="A15" t="s">
        <v>38</v>
      </c>
      <c r="B15" t="s">
        <v>30</v>
      </c>
      <c r="C15">
        <f>0.46/0.52</f>
        <v>0.88461538461538458</v>
      </c>
      <c r="D15" t="s">
        <v>37</v>
      </c>
      <c r="E15" t="s">
        <v>32</v>
      </c>
      <c r="F15" t="s">
        <v>33</v>
      </c>
    </row>
    <row r="16" spans="1:6" x14ac:dyDescent="0.25">
      <c r="A16" t="s">
        <v>38</v>
      </c>
      <c r="B16" t="s">
        <v>34</v>
      </c>
      <c r="C16">
        <f>0.52/0.52</f>
        <v>1</v>
      </c>
      <c r="D16" t="s">
        <v>37</v>
      </c>
      <c r="E16" t="s">
        <v>32</v>
      </c>
      <c r="F16" t="s">
        <v>33</v>
      </c>
    </row>
    <row r="17" spans="1:6" x14ac:dyDescent="0.25">
      <c r="A17" t="s">
        <v>39</v>
      </c>
      <c r="B17" t="s">
        <v>29</v>
      </c>
      <c r="C17">
        <v>2.7E-2</v>
      </c>
      <c r="D17" t="s">
        <v>40</v>
      </c>
      <c r="E17" t="s">
        <v>41</v>
      </c>
      <c r="F17" t="s">
        <v>42</v>
      </c>
    </row>
    <row r="18" spans="1:6" x14ac:dyDescent="0.25">
      <c r="A18" t="s">
        <v>43</v>
      </c>
      <c r="B18" t="s">
        <v>24</v>
      </c>
      <c r="C18">
        <v>3.44</v>
      </c>
      <c r="D18" t="s">
        <v>44</v>
      </c>
      <c r="E18" t="s">
        <v>45</v>
      </c>
    </row>
    <row r="19" spans="1:6" x14ac:dyDescent="0.25">
      <c r="A19" t="s">
        <v>46</v>
      </c>
      <c r="B19" t="s">
        <v>30</v>
      </c>
      <c r="C19" s="1">
        <v>17.242060000000002</v>
      </c>
      <c r="D19" t="s">
        <v>47</v>
      </c>
      <c r="E19" t="s">
        <v>48</v>
      </c>
      <c r="F19" t="s">
        <v>49</v>
      </c>
    </row>
    <row r="20" spans="1:6" x14ac:dyDescent="0.25">
      <c r="A20" t="s">
        <v>50</v>
      </c>
      <c r="B20" t="s">
        <v>30</v>
      </c>
      <c r="C20" s="1">
        <v>18.083743333333331</v>
      </c>
      <c r="D20" t="s">
        <v>51</v>
      </c>
      <c r="E20" t="s">
        <v>48</v>
      </c>
      <c r="F20" t="s">
        <v>49</v>
      </c>
    </row>
    <row r="21" spans="1:6" x14ac:dyDescent="0.25">
      <c r="A21" t="s">
        <v>52</v>
      </c>
      <c r="B21" t="s">
        <v>30</v>
      </c>
      <c r="C21" s="1">
        <v>18.984240000000003</v>
      </c>
      <c r="D21" t="s">
        <v>44</v>
      </c>
      <c r="E21" t="s">
        <v>48</v>
      </c>
      <c r="F21" t="s">
        <v>49</v>
      </c>
    </row>
    <row r="23" spans="1:6" x14ac:dyDescent="0.25">
      <c r="A23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Calculo</vt:lpstr>
      <vt:lpstr>Emission factors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AGUSTINA SARA NOCEREZ</dc:creator>
  <cp:lastModifiedBy>Agustina Nocerez</cp:lastModifiedBy>
  <dcterms:created xsi:type="dcterms:W3CDTF">2026-01-21T02:03:39Z</dcterms:created>
  <dcterms:modified xsi:type="dcterms:W3CDTF">2026-03-03T02:13:23Z</dcterms:modified>
</cp:coreProperties>
</file>